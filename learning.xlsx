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mlata\Downloads\"/>
    </mc:Choice>
  </mc:AlternateContent>
  <xr:revisionPtr revIDLastSave="0" documentId="13_ncr:1_{F6C42369-1E95-48B4-8089-4862D74F703B}" xr6:coauthVersionLast="47" xr6:coauthVersionMax="47" xr10:uidLastSave="{00000000-0000-0000-0000-000000000000}"/>
  <bookViews>
    <workbookView xWindow="-110" yWindow="-110" windowWidth="19420" windowHeight="10300" firstSheet="1" activeTab="6" xr2:uid="{169ABADE-9E16-416D-9770-513F2194103D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5" l="1"/>
  <c r="F6" i="5"/>
  <c r="E6" i="5"/>
  <c r="G5" i="5"/>
  <c r="F5" i="5"/>
  <c r="E5" i="5"/>
  <c r="G4" i="5"/>
  <c r="F4" i="5"/>
  <c r="E4" i="5"/>
  <c r="G3" i="5"/>
  <c r="F3" i="5"/>
  <c r="E3" i="5"/>
  <c r="G2" i="5"/>
  <c r="F2" i="5"/>
  <c r="E2" i="5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  <c r="E2" i="6"/>
  <c r="F2" i="6"/>
  <c r="G2" i="6"/>
  <c r="E3" i="6"/>
  <c r="F3" i="6"/>
  <c r="G3" i="6"/>
  <c r="E4" i="6"/>
  <c r="F4" i="6"/>
  <c r="G4" i="6"/>
  <c r="E5" i="6"/>
  <c r="F5" i="6"/>
  <c r="G5" i="6"/>
  <c r="E6" i="6"/>
  <c r="F6" i="6"/>
  <c r="G6" i="6"/>
  <c r="E18" i="5"/>
  <c r="E17" i="5"/>
  <c r="E15" i="5"/>
  <c r="E14" i="5"/>
  <c r="E13" i="5"/>
  <c r="B13" i="5"/>
  <c r="B12" i="5"/>
  <c r="B11" i="5"/>
  <c r="F32" i="3"/>
  <c r="F31" i="3"/>
  <c r="F30" i="3"/>
  <c r="F29" i="3"/>
  <c r="F28" i="3"/>
  <c r="F27" i="3"/>
  <c r="F26" i="3"/>
  <c r="E22" i="3"/>
  <c r="E18" i="3"/>
  <c r="E19" i="3"/>
  <c r="E20" i="3"/>
  <c r="E21" i="3"/>
  <c r="I15" i="3"/>
  <c r="F19" i="3"/>
  <c r="F20" i="3"/>
  <c r="F21" i="3"/>
  <c r="F22" i="3"/>
  <c r="F18" i="3"/>
  <c r="C19" i="3"/>
  <c r="C20" i="3"/>
  <c r="C21" i="3"/>
  <c r="D21" i="3" s="1"/>
  <c r="C22" i="3"/>
  <c r="C18" i="3"/>
  <c r="G9" i="1"/>
  <c r="G10" i="1"/>
  <c r="G11" i="1"/>
  <c r="G12" i="1"/>
  <c r="G8" i="1"/>
  <c r="F9" i="1"/>
  <c r="F10" i="1"/>
  <c r="F11" i="1"/>
  <c r="F12" i="1"/>
  <c r="F8" i="1"/>
  <c r="E9" i="1"/>
  <c r="E10" i="1"/>
  <c r="E11" i="1"/>
  <c r="E12" i="1"/>
  <c r="E8" i="1"/>
  <c r="C17" i="1"/>
  <c r="C16" i="1"/>
  <c r="C15" i="1"/>
  <c r="C14" i="1"/>
  <c r="C13" i="1"/>
  <c r="D18" i="1"/>
  <c r="D19" i="3" l="1"/>
  <c r="G19" i="3"/>
  <c r="D20" i="3"/>
  <c r="G20" i="3"/>
  <c r="D22" i="3"/>
  <c r="G22" i="3"/>
  <c r="D18" i="3"/>
  <c r="G18" i="3"/>
</calcChain>
</file>

<file path=xl/sharedStrings.xml><?xml version="1.0" encoding="utf-8"?>
<sst xmlns="http://schemas.openxmlformats.org/spreadsheetml/2006/main" count="251" uniqueCount="115">
  <si>
    <t>ID</t>
  </si>
  <si>
    <t>NAME</t>
  </si>
  <si>
    <t>CITY</t>
  </si>
  <si>
    <t>REGION</t>
  </si>
  <si>
    <t>SALARY</t>
  </si>
  <si>
    <t>EMPLOYEE DATA</t>
  </si>
  <si>
    <t>Product</t>
  </si>
  <si>
    <t>Quantity</t>
  </si>
  <si>
    <t>Unit Price</t>
  </si>
  <si>
    <t>Date Sold</t>
  </si>
  <si>
    <t>Apples</t>
  </si>
  <si>
    <t>Bananas</t>
  </si>
  <si>
    <t>Cherries</t>
  </si>
  <si>
    <t>Dates</t>
  </si>
  <si>
    <t>Elderberries</t>
  </si>
  <si>
    <t>cell referencing</t>
  </si>
  <si>
    <t>Mon</t>
  </si>
  <si>
    <t>Tue</t>
  </si>
  <si>
    <t>Wed</t>
  </si>
  <si>
    <t>Thu</t>
  </si>
  <si>
    <t>Fri</t>
  </si>
  <si>
    <t>Sat</t>
  </si>
  <si>
    <t>Sun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</si>
  <si>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</si>
  <si>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</si>
  <si>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</si>
  <si>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</si>
  <si>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</si>
  <si>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</si>
  <si>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</si>
  <si>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</si>
  <si>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</si>
  <si>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</si>
  <si>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</si>
  <si>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</si>
  <si>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</t>
  </si>
  <si>
    <t>Average</t>
  </si>
  <si>
    <t>Count Numbers</t>
  </si>
  <si>
    <t>Max</t>
  </si>
  <si>
    <t>Min</t>
  </si>
  <si>
    <t>Total Sells</t>
  </si>
  <si>
    <t xml:space="preserve">Discount </t>
  </si>
  <si>
    <t>After Discount</t>
  </si>
  <si>
    <t>Net Amount</t>
  </si>
  <si>
    <t>Full Name</t>
  </si>
  <si>
    <t>Email</t>
  </si>
  <si>
    <t>Department</t>
  </si>
  <si>
    <t>Join Date</t>
  </si>
  <si>
    <t>Leave Balance</t>
  </si>
  <si>
    <t>Basic Salary</t>
  </si>
  <si>
    <t>Bonus%</t>
  </si>
  <si>
    <t>Project Start</t>
  </si>
  <si>
    <t>Project End</t>
  </si>
  <si>
    <t>Weekday Joined</t>
  </si>
  <si>
    <t>John Doe</t>
  </si>
  <si>
    <t>john@example.com</t>
  </si>
  <si>
    <t>Sales</t>
  </si>
  <si>
    <t>Jane Smith</t>
  </si>
  <si>
    <t>jane@example.com</t>
  </si>
  <si>
    <t>Marketing</t>
  </si>
  <si>
    <t>Alice Johnson</t>
  </si>
  <si>
    <t>alice@example.com</t>
  </si>
  <si>
    <t>Bob brown</t>
  </si>
  <si>
    <t>bob@example</t>
  </si>
  <si>
    <t>HR</t>
  </si>
  <si>
    <t>eva@example.com</t>
  </si>
  <si>
    <t>Eva White</t>
  </si>
  <si>
    <t>BOB brown</t>
  </si>
  <si>
    <t>John       Doe</t>
  </si>
  <si>
    <t xml:space="preserve">     Jane Smith</t>
  </si>
  <si>
    <t>Alice    Johnson</t>
  </si>
  <si>
    <t>Full Name-Trim</t>
  </si>
  <si>
    <t>Full Name - Proper</t>
  </si>
  <si>
    <t>Email - Lower</t>
  </si>
  <si>
    <t xml:space="preserve">abc </t>
  </si>
  <si>
    <t>BOB@example.com</t>
  </si>
  <si>
    <t>Domain - Right</t>
  </si>
  <si>
    <t xml:space="preserve"> Bob</t>
  </si>
  <si>
    <t>john</t>
  </si>
  <si>
    <t>example.com</t>
  </si>
  <si>
    <t>jane</t>
  </si>
  <si>
    <t>alice</t>
  </si>
  <si>
    <t>BOB</t>
  </si>
  <si>
    <t>eva</t>
  </si>
  <si>
    <t>First Name</t>
  </si>
  <si>
    <t>Domain</t>
  </si>
  <si>
    <t>Full</t>
  </si>
  <si>
    <t>Name</t>
  </si>
  <si>
    <t>John</t>
  </si>
  <si>
    <t>Doe</t>
  </si>
  <si>
    <t>Jane</t>
  </si>
  <si>
    <t>Smith</t>
  </si>
  <si>
    <t>Alic</t>
  </si>
  <si>
    <t>e Johnson</t>
  </si>
  <si>
    <t>brown</t>
  </si>
  <si>
    <t>Eva</t>
  </si>
  <si>
    <t>White</t>
  </si>
  <si>
    <t>doe</t>
  </si>
  <si>
    <t>Last Name</t>
  </si>
  <si>
    <t>Alice</t>
  </si>
  <si>
    <t>Bob</t>
  </si>
  <si>
    <t>Johnson</t>
  </si>
  <si>
    <t xml:space="preserve"> Sales</t>
  </si>
  <si>
    <t>today</t>
  </si>
  <si>
    <t>yesterday</t>
  </si>
  <si>
    <t>tommorrow</t>
  </si>
  <si>
    <t>Year</t>
  </si>
  <si>
    <t>Month</t>
  </si>
  <si>
    <t>Day</t>
  </si>
  <si>
    <t>Time</t>
  </si>
  <si>
    <t>Hour</t>
  </si>
  <si>
    <t>Second</t>
  </si>
  <si>
    <t>Minute</t>
  </si>
  <si>
    <t>datediff</t>
  </si>
  <si>
    <t>Networking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</si>
</sst>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0" xfId="0" applyFont="1" applyFill="1" applyAlignment="1">
      <alignment horizontal="centerContinuous"/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5" fillId="0" borderId="0" xfId="1"/>
    <xf numFmtId="0" fontId="1" fillId="0" borderId="0" xfId="0" applyFont="1"/>
    <xf numFmtId="0" fontId="0" fillId="0" borderId="0" xfId="0" applyNumberFormat="1"/>
    <xf numFmtId="2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91513560804901"/>
          <c:y val="0.13004629629629633"/>
          <c:w val="0.7634181977252843"/>
          <c:h val="0.4656776757072032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Sheet6!$A$2:$C$2</c:f>
              <c:strCache>
                <c:ptCount val="3"/>
                <c:pt idx="0">
                  <c:v>John Doe</c:v>
                </c:pt>
                <c:pt idx="1">
                  <c:v>10-05-2022</c:v>
                </c:pt>
                <c:pt idx="2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Sheet6!$D$1:$I$1</c:f>
              <c:strCache>
                <c:ptCount val="6"/>
                <c:pt idx="0">
                  <c:v>Basic Salary</c:v>
                </c:pt>
                <c:pt idx="1">
                  <c:v>Year</c:v>
                </c:pt>
                <c:pt idx="2">
                  <c:v>Month</c:v>
                </c:pt>
                <c:pt idx="3">
                  <c:v>Day</c:v>
                </c:pt>
                <c:pt idx="4">
                  <c:v>Project Start</c:v>
                </c:pt>
                <c:pt idx="5">
                  <c:v>Project End</c:v>
                </c:pt>
              </c:strCache>
            </c:strRef>
          </c:cat>
          <c:val>
            <c:numRef>
              <c:f>Sheet6!$D$2:$I$2</c:f>
              <c:numCache>
                <c:formatCode>General</c:formatCode>
                <c:ptCount val="6"/>
                <c:pt idx="0">
                  <c:v>50000</c:v>
                </c:pt>
                <c:pt idx="1">
                  <c:v>2022</c:v>
                </c:pt>
                <c:pt idx="2">
                  <c:v>5</c:v>
                </c:pt>
                <c:pt idx="3">
                  <c:v>10</c:v>
                </c:pt>
                <c:pt idx="4" formatCode="m/d/yyyy">
                  <c:v>45444</c:v>
                </c:pt>
                <c:pt idx="5" formatCode="m/d/yyyy">
                  <c:v>45444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74-49DE-A203-9E3AB2D8C001}"/>
            </c:ext>
          </c:extLst>
        </c:ser>
        <c:ser>
          <c:idx val="1"/>
          <c:order val="1"/>
          <c:tx>
            <c:strRef>
              <c:f>Sheet6!$A$3:$C$3</c:f>
              <c:strCache>
                <c:ptCount val="3"/>
                <c:pt idx="0">
                  <c:v>Jane Smith</c:v>
                </c:pt>
                <c:pt idx="1">
                  <c:v>15-01-2023</c:v>
                </c:pt>
                <c:pt idx="2">
                  <c:v>Marketing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Sheet6!$D$1:$I$1</c:f>
              <c:strCache>
                <c:ptCount val="6"/>
                <c:pt idx="0">
                  <c:v>Basic Salary</c:v>
                </c:pt>
                <c:pt idx="1">
                  <c:v>Year</c:v>
                </c:pt>
                <c:pt idx="2">
                  <c:v>Month</c:v>
                </c:pt>
                <c:pt idx="3">
                  <c:v>Day</c:v>
                </c:pt>
                <c:pt idx="4">
                  <c:v>Project Start</c:v>
                </c:pt>
                <c:pt idx="5">
                  <c:v>Project End</c:v>
                </c:pt>
              </c:strCache>
            </c:strRef>
          </c:cat>
          <c:val>
            <c:numRef>
              <c:f>Sheet6!$D$3:$I$3</c:f>
              <c:numCache>
                <c:formatCode>General</c:formatCode>
                <c:ptCount val="6"/>
                <c:pt idx="0">
                  <c:v>60000</c:v>
                </c:pt>
                <c:pt idx="1">
                  <c:v>2023</c:v>
                </c:pt>
                <c:pt idx="2">
                  <c:v>1</c:v>
                </c:pt>
                <c:pt idx="3">
                  <c:v>15</c:v>
                </c:pt>
                <c:pt idx="4" formatCode="m/d/yyyy">
                  <c:v>45444</c:v>
                </c:pt>
                <c:pt idx="5" formatCode="m/d/yyyy">
                  <c:v>45461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74-49DE-A203-9E3AB2D8C001}"/>
            </c:ext>
          </c:extLst>
        </c:ser>
        <c:ser>
          <c:idx val="2"/>
          <c:order val="2"/>
          <c:tx>
            <c:strRef>
              <c:f>Sheet6!$A$4:$C$4</c:f>
              <c:strCache>
                <c:ptCount val="3"/>
                <c:pt idx="0">
                  <c:v>Alice Johnson</c:v>
                </c:pt>
                <c:pt idx="1">
                  <c:v>01-07-2021</c:v>
                </c:pt>
                <c:pt idx="2">
                  <c:v>Sales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Sheet6!$D$1:$I$1</c:f>
              <c:strCache>
                <c:ptCount val="6"/>
                <c:pt idx="0">
                  <c:v>Basic Salary</c:v>
                </c:pt>
                <c:pt idx="1">
                  <c:v>Year</c:v>
                </c:pt>
                <c:pt idx="2">
                  <c:v>Month</c:v>
                </c:pt>
                <c:pt idx="3">
                  <c:v>Day</c:v>
                </c:pt>
                <c:pt idx="4">
                  <c:v>Project Start</c:v>
                </c:pt>
                <c:pt idx="5">
                  <c:v>Project End</c:v>
                </c:pt>
              </c:strCache>
            </c:strRef>
          </c:cat>
          <c:val>
            <c:numRef>
              <c:f>Sheet6!$D$4:$I$4</c:f>
              <c:numCache>
                <c:formatCode>General</c:formatCode>
                <c:ptCount val="6"/>
                <c:pt idx="0">
                  <c:v>55000</c:v>
                </c:pt>
                <c:pt idx="1">
                  <c:v>2021</c:v>
                </c:pt>
                <c:pt idx="2">
                  <c:v>7</c:v>
                </c:pt>
                <c:pt idx="3">
                  <c:v>1</c:v>
                </c:pt>
                <c:pt idx="4" formatCode="m/d/yyyy">
                  <c:v>45444</c:v>
                </c:pt>
                <c:pt idx="5" formatCode="m/d/yyyy">
                  <c:v>45463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74-49DE-A203-9E3AB2D8C001}"/>
            </c:ext>
          </c:extLst>
        </c:ser>
        <c:ser>
          <c:idx val="3"/>
          <c:order val="3"/>
          <c:tx>
            <c:strRef>
              <c:f>Sheet6!$A$5:$C$5</c:f>
              <c:strCache>
                <c:ptCount val="3"/>
                <c:pt idx="0">
                  <c:v>Bob brown</c:v>
                </c:pt>
                <c:pt idx="1">
                  <c:v>20-10-2023</c:v>
                </c:pt>
                <c:pt idx="2">
                  <c:v>HR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Sheet6!$D$1:$I$1</c:f>
              <c:strCache>
                <c:ptCount val="6"/>
                <c:pt idx="0">
                  <c:v>Basic Salary</c:v>
                </c:pt>
                <c:pt idx="1">
                  <c:v>Year</c:v>
                </c:pt>
                <c:pt idx="2">
                  <c:v>Month</c:v>
                </c:pt>
                <c:pt idx="3">
                  <c:v>Day</c:v>
                </c:pt>
                <c:pt idx="4">
                  <c:v>Project Start</c:v>
                </c:pt>
                <c:pt idx="5">
                  <c:v>Project End</c:v>
                </c:pt>
              </c:strCache>
            </c:strRef>
          </c:cat>
          <c:val>
            <c:numRef>
              <c:f>Sheet6!$D$5:$I$5</c:f>
              <c:numCache>
                <c:formatCode>General</c:formatCode>
                <c:ptCount val="6"/>
                <c:pt idx="0">
                  <c:v>45000</c:v>
                </c:pt>
                <c:pt idx="1">
                  <c:v>2023</c:v>
                </c:pt>
                <c:pt idx="2">
                  <c:v>10</c:v>
                </c:pt>
                <c:pt idx="3">
                  <c:v>20</c:v>
                </c:pt>
                <c:pt idx="4" formatCode="m/d/yyyy">
                  <c:v>45444</c:v>
                </c:pt>
                <c:pt idx="5" formatCode="m/d/yyyy">
                  <c:v>45468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74-49DE-A203-9E3AB2D8C001}"/>
            </c:ext>
          </c:extLst>
        </c:ser>
        <c:ser>
          <c:idx val="4"/>
          <c:order val="4"/>
          <c:tx>
            <c:strRef>
              <c:f>Sheet6!$A$6:$C$6</c:f>
              <c:strCache>
                <c:ptCount val="3"/>
                <c:pt idx="0">
                  <c:v>Eva White</c:v>
                </c:pt>
                <c:pt idx="1">
                  <c:v>05-03-2020</c:v>
                </c:pt>
                <c:pt idx="2">
                  <c:v>Marketing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Sheet6!$D$1:$I$1</c:f>
              <c:strCache>
                <c:ptCount val="6"/>
                <c:pt idx="0">
                  <c:v>Basic Salary</c:v>
                </c:pt>
                <c:pt idx="1">
                  <c:v>Year</c:v>
                </c:pt>
                <c:pt idx="2">
                  <c:v>Month</c:v>
                </c:pt>
                <c:pt idx="3">
                  <c:v>Day</c:v>
                </c:pt>
                <c:pt idx="4">
                  <c:v>Project Start</c:v>
                </c:pt>
                <c:pt idx="5">
                  <c:v>Project End</c:v>
                </c:pt>
              </c:strCache>
            </c:strRef>
          </c:cat>
          <c:val>
            <c:numRef>
              <c:f>Sheet6!$D$6:$I$6</c:f>
              <c:numCache>
                <c:formatCode>General</c:formatCode>
                <c:ptCount val="6"/>
                <c:pt idx="0">
                  <c:v>70000</c:v>
                </c:pt>
                <c:pt idx="1">
                  <c:v>2020</c:v>
                </c:pt>
                <c:pt idx="2">
                  <c:v>3</c:v>
                </c:pt>
                <c:pt idx="3">
                  <c:v>5</c:v>
                </c:pt>
                <c:pt idx="4" formatCode="m/d/yyyy">
                  <c:v>45444</c:v>
                </c:pt>
                <c:pt idx="5" formatCode="m/d/yyyy">
                  <c:v>45473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74-49DE-A203-9E3AB2D8C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28867200"/>
        <c:axId val="1961712048"/>
      </c:barChart>
      <c:catAx>
        <c:axId val="2128867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712048"/>
        <c:crosses val="autoZero"/>
        <c:auto val="1"/>
        <c:lblAlgn val="ctr"/>
        <c:lblOffset val="100"/>
        <c:noMultiLvlLbl val="0"/>
      </c:catAx>
      <c:valAx>
        <c:axId val="1961712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886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Sheet7!$B$1</c:f>
              <c:strCache>
                <c:ptCount val="1"/>
                <c:pt idx="0">
                  <c:v>Join 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Sheet7!$A$2:$A$6</c:f>
              <c:strCache>
                <c:ptCount val="5"/>
                <c:pt idx="0">
                  <c:v>John Doe</c:v>
                </c:pt>
                <c:pt idx="1">
                  <c:v>Jane Smith</c:v>
                </c:pt>
                <c:pt idx="2">
                  <c:v>Alice Johnson</c:v>
                </c:pt>
                <c:pt idx="3">
                  <c:v>Bob brown</c:v>
                </c:pt>
                <c:pt idx="4">
                  <c:v>Eva White</c:v>
                </c:pt>
              </c:strCache>
            </c:strRef>
          </c:cat>
          <c:val>
            <c:numRef>
              <c:f>Sheet7!$B$2:$B$6</c:f>
              <c:numCache>
                <c:formatCode>m/d/yyyy</c:formatCode>
                <c:ptCount val="5"/>
                <c:pt idx="0">
                  <c:v>44691</c:v>
                </c:pt>
                <c:pt idx="1">
                  <c:v>44941</c:v>
                </c:pt>
                <c:pt idx="2">
                  <c:v>44378</c:v>
                </c:pt>
                <c:pt idx="3">
                  <c:v>45219</c:v>
                </c:pt>
                <c:pt idx="4">
                  <c:v>43895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A7-4AD0-9E20-909AE5EA3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268512"/>
        <c:axId val="1961705808"/>
      </c:barChart>
      <c:catAx>
        <c:axId val="2130268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705808"/>
        <c:crosses val="autoZero"/>
        <c:auto val="1"/>
        <c:lblAlgn val="ctr"/>
        <c:lblOffset val="100"/>
        <c:noMultiLvlLbl val="0"/>
      </c:catAx>
      <c:valAx>
        <c:axId val="1961705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568325</xdr:colOff>
      <xdr:row>4</xdr:row>
      <xdr:rowOff>0</xdr:rowOff>
    </xdr:from>
    <xdr:to>
      <xdr:col>17</xdr:col>
      <xdr:colOff>263525</xdr:colOff>
      <xdr:row>18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3E3340-F076-930F-A6B2-077CD2C7B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22225</xdr:colOff>
      <xdr:row>1</xdr:row>
      <xdr:rowOff>114300</xdr:rowOff>
    </xdr:from>
    <xdr:to>
      <xdr:col>17</xdr:col>
      <xdr:colOff>327025</xdr:colOff>
      <xdr:row>16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C2304D-2E4F-2361-0A48-CFB3F55558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alice@example.com" TargetMode="External"/><Relationship Id="rId2" Type="http://schemas.openxmlformats.org/officeDocument/2006/relationships/hyperlink" Target="mailto:jane@example.com" TargetMode="External"/><Relationship Id="rId1" Type="http://schemas.openxmlformats.org/officeDocument/2006/relationships/hyperlink" Target="mailto:john@example.com" TargetMode="External"/><Relationship Id="rId5" Type="http://schemas.openxmlformats.org/officeDocument/2006/relationships/hyperlink" Target="mailto:eva@example.com" TargetMode="External"/><Relationship Id="rId4" Type="http://schemas.openxmlformats.org/officeDocument/2006/relationships/hyperlink" Target="mailto:bob@example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john@example.com" TargetMode="External"/><Relationship Id="rId3" Type="http://schemas.openxmlformats.org/officeDocument/2006/relationships/hyperlink" Target="mailto:alice@example.com" TargetMode="External"/><Relationship Id="rId7" Type="http://schemas.openxmlformats.org/officeDocument/2006/relationships/hyperlink" Target="mailto:BOB@example.com" TargetMode="External"/><Relationship Id="rId12" Type="http://schemas.openxmlformats.org/officeDocument/2006/relationships/hyperlink" Target="mailto:eva@example.com" TargetMode="External"/><Relationship Id="rId2" Type="http://schemas.openxmlformats.org/officeDocument/2006/relationships/hyperlink" Target="mailto:jane@example.com" TargetMode="External"/><Relationship Id="rId1" Type="http://schemas.openxmlformats.org/officeDocument/2006/relationships/hyperlink" Target="mailto:john@example.com" TargetMode="External"/><Relationship Id="rId6" Type="http://schemas.openxmlformats.org/officeDocument/2006/relationships/hyperlink" Target="mailto:jane@example.com" TargetMode="External"/><Relationship Id="rId11" Type="http://schemas.openxmlformats.org/officeDocument/2006/relationships/hyperlink" Target="mailto:BOB@example.com" TargetMode="External"/><Relationship Id="rId5" Type="http://schemas.openxmlformats.org/officeDocument/2006/relationships/hyperlink" Target="mailto:eva@example.com" TargetMode="External"/><Relationship Id="rId10" Type="http://schemas.openxmlformats.org/officeDocument/2006/relationships/hyperlink" Target="mailto:alice@example.com" TargetMode="External"/><Relationship Id="rId4" Type="http://schemas.openxmlformats.org/officeDocument/2006/relationships/hyperlink" Target="mailto:BOB@example.com" TargetMode="External"/><Relationship Id="rId9" Type="http://schemas.openxmlformats.org/officeDocument/2006/relationships/hyperlink" Target="mailto:jane@example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288B5-4AA0-41B9-8BDD-E7463D366C64}">
  <dimension ref="A3:P22"/>
  <sheetViews>
    <sheetView zoomScaleNormal="100" workbookViewId="0">
      <selection activeCell="H9" sqref="H9"/>
    </sheetView>
  </sheetViews>
  <sheetFormatPr defaultRowHeight="14.5" x14ac:dyDescent="0.35"/>
  <cols>
    <col min="1" max="1" width="10.90625" bestFit="1" customWidth="1"/>
    <col min="2" max="2" width="14" bestFit="1" customWidth="1"/>
    <col min="4" max="4" width="13.54296875" bestFit="1" customWidth="1"/>
    <col min="6" max="6" width="13" bestFit="1" customWidth="1"/>
    <col min="7" max="7" width="11.08984375" bestFit="1" customWidth="1"/>
    <col min="10" max="10" width="10.26953125" customWidth="1"/>
    <col min="12" max="14" width="10.08984375" bestFit="1" customWidth="1"/>
  </cols>
  <sheetData>
    <row r="3" spans="1:16" s="2" customFormat="1" ht="18.5" x14ac:dyDescent="0.45">
      <c r="A3" s="3" t="s">
        <v>5</v>
      </c>
      <c r="B3" s="3"/>
      <c r="C3" s="3"/>
      <c r="D3" s="3"/>
      <c r="E3" s="3"/>
    </row>
    <row r="4" spans="1:16" s="1" customFormat="1" ht="18.5" x14ac:dyDescent="0.4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I4"/>
      <c r="J4">
        <v>1</v>
      </c>
      <c r="K4"/>
      <c r="L4">
        <v>1</v>
      </c>
      <c r="M4"/>
      <c r="N4" t="s">
        <v>16</v>
      </c>
      <c r="O4" t="s">
        <v>23</v>
      </c>
      <c r="P4">
        <v>12</v>
      </c>
    </row>
    <row r="5" spans="1:16" x14ac:dyDescent="0.35">
      <c r="J5">
        <v>1</v>
      </c>
      <c r="L5">
        <v>2</v>
      </c>
      <c r="N5" t="s">
        <v>17</v>
      </c>
      <c r="O5" t="s">
        <v>24</v>
      </c>
      <c r="P5">
        <v>24</v>
      </c>
    </row>
    <row r="6" spans="1:16" x14ac:dyDescent="0.35">
      <c r="J6">
        <v>1</v>
      </c>
      <c r="L6">
        <v>3</v>
      </c>
      <c r="N6" t="s">
        <v>18</v>
      </c>
      <c r="O6" t="s">
        <v>25</v>
      </c>
      <c r="P6">
        <v>36</v>
      </c>
    </row>
    <row r="7" spans="1:16" x14ac:dyDescent="0.35">
      <c r="A7" s="5" t="s">
        <v>6</v>
      </c>
      <c r="B7" s="5" t="s">
        <v>7</v>
      </c>
      <c r="C7" s="5" t="s">
        <v>8</v>
      </c>
      <c r="D7" s="5" t="s">
        <v>9</v>
      </c>
      <c r="E7" s="5" t="s">
        <v>40</v>
      </c>
      <c r="F7" s="5" t="s">
        <v>42</v>
      </c>
      <c r="G7" s="5" t="s">
        <v>43</v>
      </c>
      <c r="J7">
        <v>1</v>
      </c>
      <c r="L7">
        <v>4</v>
      </c>
      <c r="N7" t="s">
        <v>19</v>
      </c>
      <c r="O7" t="s">
        <v>26</v>
      </c>
      <c r="P7">
        <v>48</v>
      </c>
    </row>
    <row r="8" spans="1:16" x14ac:dyDescent="0.35">
      <c r="A8" t="s">
        <v>10</v>
      </c>
      <c r="B8">
        <v>10</v>
      </c>
      <c r="C8">
        <v>2.5</v>
      </c>
      <c r="D8" s="4">
        <v>45444</v>
      </c>
      <c r="E8">
        <f>B8*C8</f>
        <v>25</v>
      </c>
      <c r="F8">
        <f>E8*($B$22/100)</f>
        <v>4.5</v>
      </c>
      <c r="G8">
        <f xml:space="preserve"> E8-F8</f>
        <v>20.5</v>
      </c>
      <c r="J8">
        <v>1</v>
      </c>
      <c r="L8">
        <v>5</v>
      </c>
      <c r="N8" t="s">
        <v>20</v>
      </c>
      <c r="O8" t="s">
        <v>27</v>
      </c>
      <c r="P8">
        <v>60</v>
      </c>
    </row>
    <row r="9" spans="1:16" x14ac:dyDescent="0.35">
      <c r="A9" t="s">
        <v>11</v>
      </c>
      <c r="B9">
        <v>15</v>
      </c>
      <c r="C9">
        <v>1.2</v>
      </c>
      <c r="D9" s="4">
        <v>45445</v>
      </c>
      <c r="E9">
        <f t="shared" ref="E9:E12" si="0">B9*C9</f>
        <v>18</v>
      </c>
      <c r="F9">
        <f t="shared" ref="F9:F12" si="1">E9*($B$22/100)</f>
        <v>3.2399999999999998</v>
      </c>
      <c r="G9">
        <f t="shared" ref="G9:G12" si="2" xml:space="preserve"> E9-F9</f>
        <v>14.76</v>
      </c>
      <c r="J9">
        <v>1</v>
      </c>
      <c r="L9">
        <v>6</v>
      </c>
      <c r="N9" t="s">
        <v>21</v>
      </c>
      <c r="O9" t="s">
        <v>28</v>
      </c>
      <c r="P9">
        <v>72</v>
      </c>
    </row>
    <row r="10" spans="1:16" x14ac:dyDescent="0.35">
      <c r="A10" t="s">
        <v>12</v>
      </c>
      <c r="B10">
        <v>7</v>
      </c>
      <c r="C10">
        <v>3</v>
      </c>
      <c r="D10" s="4">
        <v>45446</v>
      </c>
      <c r="E10">
        <f t="shared" si="0"/>
        <v>21</v>
      </c>
      <c r="F10">
        <f t="shared" si="1"/>
        <v>3.78</v>
      </c>
      <c r="G10">
        <f t="shared" si="2"/>
        <v>17.22</v>
      </c>
      <c r="J10">
        <v>1</v>
      </c>
      <c r="L10">
        <v>7</v>
      </c>
      <c r="N10" t="s">
        <v>22</v>
      </c>
      <c r="O10" t="s">
        <v>29</v>
      </c>
      <c r="P10">
        <v>84</v>
      </c>
    </row>
    <row r="11" spans="1:16" x14ac:dyDescent="0.35">
      <c r="A11" t="s">
        <v>13</v>
      </c>
      <c r="B11">
        <v>20</v>
      </c>
      <c r="C11">
        <v>1.8</v>
      </c>
      <c r="D11" s="4">
        <v>45447</v>
      </c>
      <c r="E11">
        <f t="shared" si="0"/>
        <v>36</v>
      </c>
      <c r="F11">
        <f t="shared" si="1"/>
        <v>6.4799999999999995</v>
      </c>
      <c r="G11">
        <f t="shared" si="2"/>
        <v>29.52</v>
      </c>
      <c r="J11">
        <v>1</v>
      </c>
      <c r="L11">
        <v>8</v>
      </c>
      <c r="N11" t="s">
        <v>16</v>
      </c>
      <c r="O11" t="s">
        <v>30</v>
      </c>
      <c r="P11">
        <v>96</v>
      </c>
    </row>
    <row r="12" spans="1:16" x14ac:dyDescent="0.35">
      <c r="A12" t="s">
        <v>14</v>
      </c>
      <c r="B12">
        <v>5</v>
      </c>
      <c r="C12">
        <v>4</v>
      </c>
      <c r="D12" s="4">
        <v>45448</v>
      </c>
      <c r="E12">
        <f t="shared" si="0"/>
        <v>20</v>
      </c>
      <c r="F12">
        <f t="shared" si="1"/>
        <v>3.5999999999999996</v>
      </c>
      <c r="G12">
        <f t="shared" si="2"/>
        <v>16.399999999999999</v>
      </c>
      <c r="H12" s="4"/>
      <c r="J12">
        <v>1</v>
      </c>
      <c r="L12">
        <v>9</v>
      </c>
      <c r="N12" t="s">
        <v>17</v>
      </c>
      <c r="O12" t="s">
        <v>31</v>
      </c>
      <c r="P12">
        <v>108</v>
      </c>
    </row>
    <row r="13" spans="1:16" x14ac:dyDescent="0.35">
      <c r="B13" t="s">
        <v>35</v>
      </c>
      <c r="C13">
        <f>SUM(C8:C12)</f>
        <v>12.5</v>
      </c>
      <c r="J13">
        <v>1</v>
      </c>
      <c r="L13">
        <v>10</v>
      </c>
      <c r="N13" t="s">
        <v>18</v>
      </c>
      <c r="O13" t="s">
        <v>32</v>
      </c>
      <c r="P13">
        <v>120</v>
      </c>
    </row>
    <row r="14" spans="1:16" x14ac:dyDescent="0.35">
      <c r="B14" t="s">
        <v>36</v>
      </c>
      <c r="C14">
        <f>AVERAGE(C8:C12)</f>
        <v>2.5</v>
      </c>
      <c r="J14">
        <v>1</v>
      </c>
      <c r="L14">
        <v>11</v>
      </c>
      <c r="N14" t="s">
        <v>19</v>
      </c>
      <c r="O14" t="s">
        <v>33</v>
      </c>
    </row>
    <row r="15" spans="1:16" x14ac:dyDescent="0.35">
      <c r="B15" t="s">
        <v>37</v>
      </c>
      <c r="C15">
        <f>COUNT(C8:C12)</f>
        <v>5</v>
      </c>
      <c r="J15">
        <v>1</v>
      </c>
      <c r="L15">
        <v>12</v>
      </c>
      <c r="N15" t="s">
        <v>20</v>
      </c>
      <c r="O15" t="s">
        <v>34</v>
      </c>
    </row>
    <row r="16" spans="1:16" x14ac:dyDescent="0.35">
      <c r="B16" t="s">
        <v>38</v>
      </c>
      <c r="C16">
        <f>MAX(C8:C12)</f>
        <v>4</v>
      </c>
      <c r="J16">
        <v>1</v>
      </c>
      <c r="L16">
        <v>13</v>
      </c>
      <c r="N16" t="s">
        <v>21</v>
      </c>
      <c r="O16" t="s">
        <v>23</v>
      </c>
    </row>
    <row r="17" spans="1:15" x14ac:dyDescent="0.35">
      <c r="B17" t="s">
        <v>39</v>
      </c>
      <c r="C17">
        <f>MIN(C8:C12)</f>
        <v>1.2</v>
      </c>
      <c r="J17">
        <v>1</v>
      </c>
      <c r="L17">
        <v>14</v>
      </c>
      <c r="N17" t="s">
        <v>22</v>
      </c>
      <c r="O17" t="s">
        <v>24</v>
      </c>
    </row>
    <row r="18" spans="1:15" x14ac:dyDescent="0.35">
      <c r="B18">
        <v>18</v>
      </c>
      <c r="C18">
        <v>4</v>
      </c>
      <c r="D18">
        <f>B18+C18</f>
        <v>22</v>
      </c>
      <c r="E18" t="s">
        <v>15</v>
      </c>
    </row>
    <row r="22" spans="1:15" x14ac:dyDescent="0.35">
      <c r="A22" t="s">
        <v>41</v>
      </c>
      <c r="B22">
        <v>18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F607C-B648-4763-B06B-7058CCB299F7}">
  <dimension ref="A1:L6"/>
  <sheetViews>
    <sheetView workbookViewId="0">
      <selection activeCell="J1" sqref="J1:K6"/>
    </sheetView>
  </sheetViews>
  <sheetFormatPr defaultRowHeight="14.5" x14ac:dyDescent="0.35"/>
  <cols>
    <col min="1" max="1" width="12.08984375" bestFit="1" customWidth="1"/>
    <col min="2" max="3" width="12.08984375" customWidth="1"/>
    <col min="4" max="4" width="17.7265625" bestFit="1" customWidth="1"/>
    <col min="5" max="5" width="10.90625" bestFit="1" customWidth="1"/>
    <col min="6" max="6" width="10.08984375" bestFit="1" customWidth="1"/>
    <col min="7" max="7" width="12.453125" bestFit="1" customWidth="1"/>
    <col min="8" max="8" width="10.453125" bestFit="1" customWidth="1"/>
    <col min="10" max="10" width="10.90625" bestFit="1" customWidth="1"/>
    <col min="11" max="11" width="10.1796875" bestFit="1" customWidth="1"/>
    <col min="12" max="12" width="14.453125" bestFit="1" customWidth="1"/>
  </cols>
  <sheetData>
    <row r="1" spans="1:12" x14ac:dyDescent="0.35">
      <c r="A1" t="s">
        <v>44</v>
      </c>
      <c r="B1" t="s">
        <v>84</v>
      </c>
      <c r="C1" t="s">
        <v>98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</row>
    <row r="2" spans="1:12" x14ac:dyDescent="0.35">
      <c r="A2" t="s">
        <v>54</v>
      </c>
      <c r="B2" t="s">
        <v>88</v>
      </c>
      <c r="C2" t="s">
        <v>89</v>
      </c>
      <c r="D2" s="6" t="s">
        <v>55</v>
      </c>
      <c r="E2" t="s">
        <v>56</v>
      </c>
      <c r="F2" s="4">
        <v>44691</v>
      </c>
      <c r="G2">
        <v>5</v>
      </c>
      <c r="H2">
        <v>50000</v>
      </c>
      <c r="I2">
        <v>0.1</v>
      </c>
      <c r="J2" s="4">
        <v>45444</v>
      </c>
      <c r="K2" s="4">
        <v>45444</v>
      </c>
    </row>
    <row r="3" spans="1:12" x14ac:dyDescent="0.35">
      <c r="A3" t="s">
        <v>57</v>
      </c>
      <c r="B3" t="s">
        <v>90</v>
      </c>
      <c r="C3" t="s">
        <v>91</v>
      </c>
      <c r="D3" s="6" t="s">
        <v>58</v>
      </c>
      <c r="E3" t="s">
        <v>59</v>
      </c>
      <c r="F3" s="4">
        <v>44941</v>
      </c>
      <c r="G3">
        <v>12</v>
      </c>
      <c r="H3">
        <v>60000</v>
      </c>
      <c r="I3">
        <v>0.15</v>
      </c>
      <c r="J3" s="4">
        <v>45444</v>
      </c>
      <c r="K3" s="4">
        <v>45461</v>
      </c>
    </row>
    <row r="4" spans="1:12" x14ac:dyDescent="0.35">
      <c r="A4" t="s">
        <v>60</v>
      </c>
      <c r="B4" t="s">
        <v>99</v>
      </c>
      <c r="C4" t="s">
        <v>101</v>
      </c>
      <c r="D4" s="6" t="s">
        <v>61</v>
      </c>
      <c r="E4" t="s">
        <v>56</v>
      </c>
      <c r="F4" s="4">
        <v>44378</v>
      </c>
      <c r="G4">
        <v>0</v>
      </c>
      <c r="H4">
        <v>55000</v>
      </c>
      <c r="I4">
        <v>0.1</v>
      </c>
      <c r="J4" s="4">
        <v>45444</v>
      </c>
      <c r="K4" s="4">
        <v>45463</v>
      </c>
    </row>
    <row r="5" spans="1:12" x14ac:dyDescent="0.35">
      <c r="A5" t="s">
        <v>62</v>
      </c>
      <c r="B5" t="s">
        <v>100</v>
      </c>
      <c r="C5" t="s">
        <v>94</v>
      </c>
      <c r="D5" s="6" t="s">
        <v>63</v>
      </c>
      <c r="E5" t="s">
        <v>64</v>
      </c>
      <c r="F5" s="4">
        <v>45219</v>
      </c>
      <c r="G5">
        <v>8</v>
      </c>
      <c r="H5">
        <v>45000</v>
      </c>
      <c r="I5">
        <v>0.05</v>
      </c>
      <c r="J5" s="4">
        <v>45444</v>
      </c>
      <c r="K5" s="4">
        <v>45468</v>
      </c>
    </row>
    <row r="6" spans="1:12" x14ac:dyDescent="0.35">
      <c r="A6" t="s">
        <v>66</v>
      </c>
      <c r="B6" t="s">
        <v>95</v>
      </c>
      <c r="C6" t="s">
        <v>96</v>
      </c>
      <c r="D6" s="6" t="s">
        <v>65</v>
      </c>
      <c r="E6" t="s">
        <v>59</v>
      </c>
      <c r="F6" s="4">
        <v>43895</v>
      </c>
      <c r="G6">
        <v>2</v>
      </c>
      <c r="H6">
        <v>70000</v>
      </c>
      <c r="I6">
        <v>0.2</v>
      </c>
      <c r="J6" s="4">
        <v>45444</v>
      </c>
      <c r="K6" s="4">
        <v>45473</v>
      </c>
    </row>
  </sheetData>
  <hyperlinks>
    <hyperlink ref="D2" r:id="rId1" xr:uid="{4BD86EB1-29E6-4A8D-ACB2-ABA32592448B}"/>
    <hyperlink ref="D3" r:id="rId2" xr:uid="{7DD18E0D-B727-4BD3-8C05-33335C751DFC}"/>
    <hyperlink ref="D4" r:id="rId3" xr:uid="{94185AEE-7F61-40AF-B54A-AEED7471C3E6}"/>
    <hyperlink ref="D5" r:id="rId4" xr:uid="{2170E2C0-8738-4278-83E1-CC0EA1E31C05}"/>
    <hyperlink ref="D6" r:id="rId5" xr:uid="{46E7DC22-F729-49B5-BC74-C5D9795EFB5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CA749-EE56-4835-B90C-DDCF8B828F3B}">
  <dimension ref="A1:K32"/>
  <sheetViews>
    <sheetView zoomScale="97" workbookViewId="0">
      <selection activeCell="F33" sqref="F33"/>
    </sheetView>
  </sheetViews>
  <sheetFormatPr defaultRowHeight="14.5" x14ac:dyDescent="0.35"/>
  <cols>
    <col min="1" max="1" width="12.08984375" customWidth="1"/>
    <col min="2" max="2" width="17.7265625" bestFit="1" customWidth="1"/>
    <col min="3" max="3" width="13.6328125" bestFit="1" customWidth="1"/>
    <col min="4" max="4" width="16.36328125" bestFit="1" customWidth="1"/>
    <col min="5" max="5" width="17.7265625" bestFit="1" customWidth="1"/>
    <col min="6" max="6" width="13.1796875" bestFit="1" customWidth="1"/>
    <col min="8" max="8" width="22.1796875" bestFit="1" customWidth="1"/>
    <col min="9" max="9" width="12.08984375" bestFit="1" customWidth="1"/>
    <col min="10" max="10" width="17.453125" bestFit="1" customWidth="1"/>
  </cols>
  <sheetData>
    <row r="1" spans="1:9" x14ac:dyDescent="0.35">
      <c r="A1" t="s">
        <v>44</v>
      </c>
      <c r="B1" t="s">
        <v>45</v>
      </c>
    </row>
    <row r="2" spans="1:9" x14ac:dyDescent="0.35">
      <c r="A2" t="s">
        <v>54</v>
      </c>
      <c r="B2" s="6" t="s">
        <v>55</v>
      </c>
    </row>
    <row r="3" spans="1:9" x14ac:dyDescent="0.35">
      <c r="A3" t="s">
        <v>57</v>
      </c>
      <c r="B3" s="6" t="s">
        <v>58</v>
      </c>
    </row>
    <row r="4" spans="1:9" x14ac:dyDescent="0.35">
      <c r="A4" t="s">
        <v>60</v>
      </c>
      <c r="B4" s="6" t="s">
        <v>61</v>
      </c>
    </row>
    <row r="5" spans="1:9" x14ac:dyDescent="0.35">
      <c r="A5" t="s">
        <v>67</v>
      </c>
      <c r="B5" s="6" t="s">
        <v>75</v>
      </c>
    </row>
    <row r="6" spans="1:9" x14ac:dyDescent="0.35">
      <c r="A6" t="s">
        <v>66</v>
      </c>
      <c r="B6" s="6" t="s">
        <v>65</v>
      </c>
    </row>
    <row r="7" spans="1:9" x14ac:dyDescent="0.35">
      <c r="A7" t="s">
        <v>67</v>
      </c>
      <c r="B7" s="6" t="s">
        <v>75</v>
      </c>
    </row>
    <row r="8" spans="1:9" x14ac:dyDescent="0.35">
      <c r="A8" t="s">
        <v>57</v>
      </c>
      <c r="B8" s="6" t="s">
        <v>58</v>
      </c>
    </row>
    <row r="9" spans="1:9" x14ac:dyDescent="0.35">
      <c r="D9" t="s">
        <v>44</v>
      </c>
      <c r="E9" t="s">
        <v>45</v>
      </c>
    </row>
    <row r="10" spans="1:9" x14ac:dyDescent="0.35">
      <c r="D10" t="s">
        <v>54</v>
      </c>
      <c r="E10" s="6" t="s">
        <v>55</v>
      </c>
    </row>
    <row r="11" spans="1:9" x14ac:dyDescent="0.35">
      <c r="D11" t="s">
        <v>57</v>
      </c>
      <c r="E11" s="6" t="s">
        <v>58</v>
      </c>
    </row>
    <row r="12" spans="1:9" x14ac:dyDescent="0.35">
      <c r="D12" t="s">
        <v>60</v>
      </c>
      <c r="E12" s="6" t="s">
        <v>61</v>
      </c>
    </row>
    <row r="13" spans="1:9" x14ac:dyDescent="0.35">
      <c r="D13" t="s">
        <v>67</v>
      </c>
      <c r="E13" s="6" t="s">
        <v>75</v>
      </c>
    </row>
    <row r="14" spans="1:9" x14ac:dyDescent="0.35">
      <c r="D14" t="s">
        <v>66</v>
      </c>
      <c r="E14" s="6" t="s">
        <v>65</v>
      </c>
    </row>
    <row r="15" spans="1:9" x14ac:dyDescent="0.35">
      <c r="E15" s="6"/>
      <c r="H15" t="s">
        <v>74</v>
      </c>
      <c r="I15" t="str">
        <f xml:space="preserve"> UPPER(H15)</f>
        <v xml:space="preserve">ABC </v>
      </c>
    </row>
    <row r="16" spans="1:9" x14ac:dyDescent="0.35">
      <c r="E16" s="6"/>
    </row>
    <row r="17" spans="1:11" x14ac:dyDescent="0.35">
      <c r="A17" s="7" t="s">
        <v>44</v>
      </c>
      <c r="B17" s="7" t="s">
        <v>45</v>
      </c>
      <c r="C17" s="7" t="s">
        <v>71</v>
      </c>
      <c r="D17" s="7" t="s">
        <v>72</v>
      </c>
      <c r="E17" s="7" t="s">
        <v>73</v>
      </c>
      <c r="F17" s="7" t="s">
        <v>76</v>
      </c>
      <c r="G17" s="7" t="s">
        <v>0</v>
      </c>
      <c r="H17" s="7" t="s">
        <v>84</v>
      </c>
      <c r="I17" s="7" t="s">
        <v>85</v>
      </c>
      <c r="J17" s="7" t="s">
        <v>86</v>
      </c>
      <c r="K17" t="s">
        <v>87</v>
      </c>
    </row>
    <row r="18" spans="1:11" x14ac:dyDescent="0.35">
      <c r="A18" t="s">
        <v>68</v>
      </c>
      <c r="B18" t="s">
        <v>55</v>
      </c>
      <c r="C18" t="str">
        <f>TRIM(A18)</f>
        <v>John Doe</v>
      </c>
      <c r="D18" t="str">
        <f xml:space="preserve"> PROPER(C18)</f>
        <v>John Doe</v>
      </c>
      <c r="E18" t="str">
        <f xml:space="preserve"> LOWER(B18)</f>
        <v>john@example.com</v>
      </c>
      <c r="F18" t="str">
        <f xml:space="preserve"> RIGHT(E18,11)</f>
        <v>example.com</v>
      </c>
      <c r="G18" t="str">
        <f xml:space="preserve"> LEFT(C18,3)</f>
        <v>Joh</v>
      </c>
      <c r="H18" t="s">
        <v>78</v>
      </c>
      <c r="I18" t="s">
        <v>79</v>
      </c>
      <c r="J18" t="s">
        <v>88</v>
      </c>
      <c r="K18" t="s">
        <v>89</v>
      </c>
    </row>
    <row r="19" spans="1:11" x14ac:dyDescent="0.35">
      <c r="A19" t="s">
        <v>69</v>
      </c>
      <c r="B19" t="s">
        <v>58</v>
      </c>
      <c r="C19" t="str">
        <f t="shared" ref="C19:C22" si="0">TRIM(A19)</f>
        <v>Jane Smith</v>
      </c>
      <c r="D19" t="str">
        <f t="shared" ref="D19:D22" si="1" xml:space="preserve"> PROPER(C19)</f>
        <v>Jane Smith</v>
      </c>
      <c r="E19" t="str">
        <f xml:space="preserve"> LOWER(B19)</f>
        <v>jane@example.com</v>
      </c>
      <c r="F19" t="str">
        <f t="shared" ref="F19:F22" si="2" xml:space="preserve"> RIGHT(E19,11)</f>
        <v>example.com</v>
      </c>
      <c r="G19" t="str">
        <f xml:space="preserve"> LEFT(C19,3)</f>
        <v>Jan</v>
      </c>
      <c r="H19" t="s">
        <v>80</v>
      </c>
      <c r="I19" t="s">
        <v>79</v>
      </c>
      <c r="J19" t="s">
        <v>90</v>
      </c>
      <c r="K19" t="s">
        <v>91</v>
      </c>
    </row>
    <row r="20" spans="1:11" x14ac:dyDescent="0.35">
      <c r="A20" t="s">
        <v>70</v>
      </c>
      <c r="B20" t="s">
        <v>61</v>
      </c>
      <c r="C20" t="str">
        <f t="shared" si="0"/>
        <v>Alice Johnson</v>
      </c>
      <c r="D20" t="str">
        <f t="shared" si="1"/>
        <v>Alice Johnson</v>
      </c>
      <c r="E20" t="str">
        <f xml:space="preserve"> LOWER(B20)</f>
        <v>alice@example.com</v>
      </c>
      <c r="F20" t="str">
        <f t="shared" si="2"/>
        <v>example.com</v>
      </c>
      <c r="G20" t="str">
        <f xml:space="preserve"> LEFT(C20,3)</f>
        <v>Ali</v>
      </c>
      <c r="H20" t="s">
        <v>81</v>
      </c>
      <c r="I20" t="s">
        <v>79</v>
      </c>
      <c r="J20" t="s">
        <v>92</v>
      </c>
      <c r="K20" t="s">
        <v>93</v>
      </c>
    </row>
    <row r="21" spans="1:11" x14ac:dyDescent="0.35">
      <c r="A21" t="s">
        <v>67</v>
      </c>
      <c r="B21" t="s">
        <v>75</v>
      </c>
      <c r="C21" t="str">
        <f t="shared" si="0"/>
        <v>BOB brown</v>
      </c>
      <c r="D21" t="str">
        <f t="shared" si="1"/>
        <v>Bob Brown</v>
      </c>
      <c r="E21" t="str">
        <f xml:space="preserve"> LOWER(B21)</f>
        <v>bob@example.com</v>
      </c>
      <c r="F21" t="str">
        <f t="shared" si="2"/>
        <v>example.com</v>
      </c>
      <c r="G21" t="s">
        <v>77</v>
      </c>
      <c r="H21" t="s">
        <v>82</v>
      </c>
      <c r="I21" t="s">
        <v>79</v>
      </c>
      <c r="J21" t="s">
        <v>82</v>
      </c>
      <c r="K21" t="s">
        <v>94</v>
      </c>
    </row>
    <row r="22" spans="1:11" x14ac:dyDescent="0.35">
      <c r="A22" t="s">
        <v>66</v>
      </c>
      <c r="B22" t="s">
        <v>65</v>
      </c>
      <c r="C22" t="str">
        <f t="shared" si="0"/>
        <v>Eva White</v>
      </c>
      <c r="D22" t="str">
        <f t="shared" si="1"/>
        <v>Eva White</v>
      </c>
      <c r="E22" t="str">
        <f xml:space="preserve"> LOWER(B22)</f>
        <v>eva@example.com</v>
      </c>
      <c r="F22" t="str">
        <f t="shared" si="2"/>
        <v>example.com</v>
      </c>
      <c r="G22" t="str">
        <f xml:space="preserve"> LEFT(C22,3)</f>
        <v>Eva</v>
      </c>
      <c r="H22" t="s">
        <v>83</v>
      </c>
      <c r="I22" t="s">
        <v>79</v>
      </c>
      <c r="J22" t="s">
        <v>95</v>
      </c>
      <c r="K22" t="s">
        <v>96</v>
      </c>
    </row>
    <row r="26" spans="1:11" x14ac:dyDescent="0.35">
      <c r="D26" t="s">
        <v>78</v>
      </c>
      <c r="E26" t="s">
        <v>97</v>
      </c>
      <c r="F26" t="str">
        <f xml:space="preserve"> D26&amp;E26</f>
        <v>johndoe</v>
      </c>
    </row>
    <row r="27" spans="1:11" x14ac:dyDescent="0.35">
      <c r="D27" t="s">
        <v>78</v>
      </c>
      <c r="E27" t="s">
        <v>97</v>
      </c>
      <c r="F27" t="str">
        <f>D27&amp;" " &amp;E27</f>
        <v>john doe</v>
      </c>
    </row>
    <row r="28" spans="1:11" x14ac:dyDescent="0.35">
      <c r="D28" t="s">
        <v>78</v>
      </c>
      <c r="E28" t="s">
        <v>97</v>
      </c>
      <c r="F28" t="str">
        <f xml:space="preserve"> _xlfn.CONCAT(D28,E28)</f>
        <v>johndoe</v>
      </c>
    </row>
    <row r="29" spans="1:11" x14ac:dyDescent="0.35">
      <c r="D29" t="s">
        <v>78</v>
      </c>
      <c r="E29" t="s">
        <v>97</v>
      </c>
      <c r="F29" t="str">
        <f xml:space="preserve"> _xlfn.CONCAT(D29," ",E29)</f>
        <v>john doe</v>
      </c>
    </row>
    <row r="30" spans="1:11" x14ac:dyDescent="0.35">
      <c r="D30" t="s">
        <v>78</v>
      </c>
      <c r="E30" t="s">
        <v>97</v>
      </c>
      <c r="F30" t="str">
        <f xml:space="preserve"> _xlfn.TEXTJOIN("-",FALSE,D30,E30)</f>
        <v>john-doe</v>
      </c>
    </row>
    <row r="31" spans="1:11" x14ac:dyDescent="0.35">
      <c r="D31" t="s">
        <v>78</v>
      </c>
      <c r="F31" t="str">
        <f>_xlfn.TEXTJOIN("-",TRUE,D31,E31)</f>
        <v>john</v>
      </c>
    </row>
    <row r="32" spans="1:11" x14ac:dyDescent="0.35">
      <c r="D32" t="s">
        <v>78</v>
      </c>
      <c r="F32" t="str">
        <f xml:space="preserve"> _xlfn.TEXTJOIN("-",FALSE,D32,E32)</f>
        <v>john-</v>
      </c>
    </row>
  </sheetData>
  <hyperlinks>
    <hyperlink ref="B2" r:id="rId1" xr:uid="{F80D624F-7B2E-4D95-9BA8-7B1926E17F85}"/>
    <hyperlink ref="B3" r:id="rId2" xr:uid="{8C4B3D32-2D28-4B89-B956-6386E2FD1542}"/>
    <hyperlink ref="B4" r:id="rId3" xr:uid="{A3EF1FFC-FACD-41EC-A2B4-AE1376D6EBE8}"/>
    <hyperlink ref="B5" r:id="rId4" xr:uid="{8DFF9659-8458-4ACD-92C1-C6A35C632591}"/>
    <hyperlink ref="B6" r:id="rId5" xr:uid="{BED3D396-2277-4C3F-8E40-21FE7E06FF67}"/>
    <hyperlink ref="B8" r:id="rId6" xr:uid="{4CA89D0E-F87B-49CA-AF2B-FAE7AF0EFB12}"/>
    <hyperlink ref="B7" r:id="rId7" xr:uid="{53AE91D9-85F9-4965-A21B-CFCFEA004277}"/>
    <hyperlink ref="E10" r:id="rId8" xr:uid="{4439D805-312B-46BF-AB12-55A6850B9A6A}"/>
    <hyperlink ref="E11" r:id="rId9" xr:uid="{A2183185-91BA-4AFF-A264-53463B82F355}"/>
    <hyperlink ref="E12" r:id="rId10" xr:uid="{A16DE941-D521-45F1-A2A1-139F12F37B8A}"/>
    <hyperlink ref="E13" r:id="rId11" xr:uid="{07AA8277-0AA9-4C0A-8BF5-76C45B69D2BA}"/>
    <hyperlink ref="E14" r:id="rId12" xr:uid="{CF2B7E60-90A8-4E38-8517-3E30CBE49D8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B8678-038B-4523-9E32-8534128E0146}">
  <dimension ref="A1:D11"/>
  <sheetViews>
    <sheetView workbookViewId="0">
      <selection activeCell="C9" sqref="C9"/>
    </sheetView>
  </sheetViews>
  <sheetFormatPr defaultRowHeight="14.5" x14ac:dyDescent="0.35"/>
  <cols>
    <col min="1" max="1" width="10.90625" bestFit="1" customWidth="1"/>
  </cols>
  <sheetData>
    <row r="1" spans="1:4" x14ac:dyDescent="0.35">
      <c r="A1" t="s">
        <v>46</v>
      </c>
      <c r="B1" t="s">
        <v>49</v>
      </c>
    </row>
    <row r="2" spans="1:4" x14ac:dyDescent="0.35">
      <c r="A2" t="s">
        <v>102</v>
      </c>
      <c r="B2">
        <v>50000</v>
      </c>
    </row>
    <row r="3" spans="1:4" x14ac:dyDescent="0.35">
      <c r="A3" t="s">
        <v>59</v>
      </c>
      <c r="B3">
        <v>60000</v>
      </c>
    </row>
    <row r="4" spans="1:4" x14ac:dyDescent="0.35">
      <c r="A4" t="s">
        <v>56</v>
      </c>
      <c r="B4">
        <v>55000</v>
      </c>
    </row>
    <row r="5" spans="1:4" x14ac:dyDescent="0.35">
      <c r="A5" t="s">
        <v>64</v>
      </c>
      <c r="B5">
        <v>45000</v>
      </c>
    </row>
    <row r="6" spans="1:4" x14ac:dyDescent="0.35">
      <c r="A6" t="s">
        <v>59</v>
      </c>
      <c r="B6">
        <v>70000</v>
      </c>
    </row>
    <row r="8" spans="1:4" x14ac:dyDescent="0.35">
      <c r="C8" t="s">
        <v>46</v>
      </c>
      <c r="D8" t="s">
        <v>49</v>
      </c>
    </row>
    <row r="9" spans="1:4" x14ac:dyDescent="0.35">
      <c r="C9" t="s">
        <v>102</v>
      </c>
      <c r="D9">
        <v>50000</v>
      </c>
    </row>
    <row r="10" spans="1:4" x14ac:dyDescent="0.35">
      <c r="C10" t="s">
        <v>59</v>
      </c>
      <c r="D10">
        <v>130000</v>
      </c>
    </row>
    <row r="11" spans="1:4" x14ac:dyDescent="0.35">
      <c r="C11" t="s">
        <v>56</v>
      </c>
      <c r="D11">
        <v>55000</v>
      </c>
    </row>
  </sheetData>
  <dataConsolidate leftLabels="1" topLabels="1">
    <dataRefs count="1">
      <dataRef ref="A1:B6" sheet="Sheet4"/>
    </dataRefs>
  </dataConsolid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4E79C-EF77-4403-870D-FE04E431313D}">
  <dimension ref="A1:J18"/>
  <sheetViews>
    <sheetView workbookViewId="0">
      <selection activeCell="H16" sqref="H16"/>
    </sheetView>
  </sheetViews>
  <sheetFormatPr defaultRowHeight="14.5" x14ac:dyDescent="0.35"/>
  <cols>
    <col min="1" max="1" width="12.08984375" bestFit="1" customWidth="1"/>
    <col min="2" max="2" width="10.08984375" style="8" bestFit="1" customWidth="1"/>
    <col min="3" max="3" width="10.90625" bestFit="1" customWidth="1"/>
    <col min="4" max="4" width="14.7265625" bestFit="1" customWidth="1"/>
    <col min="5" max="5" width="7.90625" bestFit="1" customWidth="1"/>
    <col min="8" max="8" width="10.90625" bestFit="1" customWidth="1"/>
    <col min="9" max="9" width="10.1796875" bestFit="1" customWidth="1"/>
  </cols>
  <sheetData>
    <row r="1" spans="1:10" x14ac:dyDescent="0.35">
      <c r="A1" t="s">
        <v>44</v>
      </c>
      <c r="B1" t="s">
        <v>47</v>
      </c>
      <c r="C1" t="s">
        <v>46</v>
      </c>
      <c r="D1" t="s">
        <v>49</v>
      </c>
      <c r="E1" t="s">
        <v>106</v>
      </c>
      <c r="F1" t="s">
        <v>107</v>
      </c>
      <c r="G1" t="s">
        <v>108</v>
      </c>
      <c r="H1" t="s">
        <v>51</v>
      </c>
      <c r="I1" t="s">
        <v>52</v>
      </c>
    </row>
    <row r="2" spans="1:10" x14ac:dyDescent="0.35">
      <c r="A2" t="s">
        <v>54</v>
      </c>
      <c r="B2" s="4">
        <v>44691</v>
      </c>
      <c r="C2" t="s">
        <v>56</v>
      </c>
      <c r="D2">
        <v>50000</v>
      </c>
      <c r="E2">
        <f xml:space="preserve"> YEAR(B2)</f>
        <v>2022</v>
      </c>
      <c r="F2">
        <f xml:space="preserve"> MONTH(B2)</f>
        <v>5</v>
      </c>
      <c r="G2">
        <f xml:space="preserve"> DAY(B2)</f>
        <v>10</v>
      </c>
      <c r="H2" s="4">
        <v>45444</v>
      </c>
      <c r="I2" s="4">
        <v>45444</v>
      </c>
    </row>
    <row r="3" spans="1:10" x14ac:dyDescent="0.35">
      <c r="A3" t="s">
        <v>57</v>
      </c>
      <c r="B3" s="4">
        <v>44941</v>
      </c>
      <c r="C3" t="s">
        <v>59</v>
      </c>
      <c r="D3">
        <v>60000</v>
      </c>
      <c r="E3">
        <f xml:space="preserve"> YEAR(B3)</f>
        <v>2023</v>
      </c>
      <c r="F3">
        <f xml:space="preserve"> MONTH(B3)</f>
        <v>1</v>
      </c>
      <c r="G3">
        <f xml:space="preserve"> DAY(B3)</f>
        <v>15</v>
      </c>
      <c r="H3" s="4">
        <v>45444</v>
      </c>
      <c r="I3" s="4">
        <v>45461</v>
      </c>
    </row>
    <row r="4" spans="1:10" x14ac:dyDescent="0.35">
      <c r="A4" t="s">
        <v>60</v>
      </c>
      <c r="B4" s="4">
        <v>44378</v>
      </c>
      <c r="C4" t="s">
        <v>56</v>
      </c>
      <c r="D4">
        <v>55000</v>
      </c>
      <c r="E4">
        <f xml:space="preserve"> YEAR(B4)</f>
        <v>2021</v>
      </c>
      <c r="F4">
        <f xml:space="preserve"> MONTH(B4)</f>
        <v>7</v>
      </c>
      <c r="G4">
        <f xml:space="preserve"> DAY(B4)</f>
        <v>1</v>
      </c>
      <c r="H4" s="4">
        <v>45444</v>
      </c>
      <c r="I4" s="4">
        <v>45463</v>
      </c>
      <c r="J4" s="10"/>
    </row>
    <row r="5" spans="1:10" x14ac:dyDescent="0.35">
      <c r="A5" t="s">
        <v>62</v>
      </c>
      <c r="B5" s="4">
        <v>45219</v>
      </c>
      <c r="C5" t="s">
        <v>64</v>
      </c>
      <c r="D5">
        <v>45000</v>
      </c>
      <c r="E5">
        <f xml:space="preserve"> YEAR(B5)</f>
        <v>2023</v>
      </c>
      <c r="F5">
        <f xml:space="preserve"> MONTH(B5)</f>
        <v>10</v>
      </c>
      <c r="G5">
        <f xml:space="preserve"> DAY(B5)</f>
        <v>20</v>
      </c>
      <c r="H5" s="4">
        <v>45444</v>
      </c>
      <c r="I5" s="4">
        <v>45468</v>
      </c>
    </row>
    <row r="6" spans="1:10" x14ac:dyDescent="0.35">
      <c r="A6" t="s">
        <v>66</v>
      </c>
      <c r="B6" s="4">
        <v>43895</v>
      </c>
      <c r="C6" t="s">
        <v>59</v>
      </c>
      <c r="D6">
        <v>70000</v>
      </c>
      <c r="E6">
        <f xml:space="preserve"> YEAR(B6)</f>
        <v>2020</v>
      </c>
      <c r="F6">
        <f xml:space="preserve"> MONTH(B6)</f>
        <v>3</v>
      </c>
      <c r="G6">
        <f xml:space="preserve"> DAY(B6)</f>
        <v>5</v>
      </c>
      <c r="H6" s="4">
        <v>45444</v>
      </c>
      <c r="I6" s="4">
        <v>45473</v>
      </c>
    </row>
    <row r="11" spans="1:10" x14ac:dyDescent="0.35">
      <c r="A11" t="s">
        <v>103</v>
      </c>
      <c r="B11" s="4">
        <f ca="1" xml:space="preserve"> TODAY()</f>
        <v>46272</v>
      </c>
    </row>
    <row r="12" spans="1:10" x14ac:dyDescent="0.35">
      <c r="A12" t="s">
        <v>104</v>
      </c>
      <c r="B12" s="4">
        <f ca="1">TODAY()-1</f>
        <v>46271</v>
      </c>
      <c r="D12" t="s">
        <v>109</v>
      </c>
      <c r="E12" s="9">
        <v>0.51636574074074071</v>
      </c>
    </row>
    <row r="13" spans="1:10" x14ac:dyDescent="0.35">
      <c r="A13" t="s">
        <v>105</v>
      </c>
      <c r="B13" s="4">
        <f ca="1" xml:space="preserve"> TODAY()+1</f>
        <v>46273</v>
      </c>
      <c r="D13" t="s">
        <v>110</v>
      </c>
      <c r="E13">
        <f>HOUR(E12)</f>
        <v>12</v>
      </c>
    </row>
    <row r="14" spans="1:10" x14ac:dyDescent="0.35">
      <c r="D14" t="s">
        <v>112</v>
      </c>
      <c r="E14">
        <f xml:space="preserve"> MINUTE(E12)</f>
        <v>23</v>
      </c>
    </row>
    <row r="15" spans="1:10" x14ac:dyDescent="0.35">
      <c r="D15" t="s">
        <v>111</v>
      </c>
      <c r="E15">
        <f xml:space="preserve"> SECOND(E12)</f>
        <v>34</v>
      </c>
    </row>
    <row r="17" spans="4:5" x14ac:dyDescent="0.35">
      <c r="D17" t="s">
        <v>113</v>
      </c>
      <c r="E17">
        <f ca="1" xml:space="preserve"> DATEDIF(Sheet6!B2,TODAY(),"y")</f>
        <v>4</v>
      </c>
    </row>
    <row r="18" spans="4:5" x14ac:dyDescent="0.35">
      <c r="D18" t="s">
        <v>114</v>
      </c>
      <c r="E18">
        <f ca="1" xml:space="preserve"> NETWORKDAYS(Sheet6!B2,TODAY())</f>
        <v>1130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6E8B3-D324-4813-8C70-3E5782BF4C5D}">
  <dimension ref="A1:I6"/>
  <sheetViews>
    <sheetView workbookViewId="0">
      <selection activeCell="G15" sqref="G15"/>
    </sheetView>
  </sheetViews>
  <sheetFormatPr defaultRowHeight="14.5" x14ac:dyDescent="0.35"/>
  <cols>
    <col min="1" max="1" width="12.08984375" bestFit="1" customWidth="1"/>
    <col min="2" max="2" width="10.08984375" bestFit="1" customWidth="1"/>
    <col min="3" max="3" width="10.90625" bestFit="1" customWidth="1"/>
    <col min="4" max="4" width="10.453125" bestFit="1" customWidth="1"/>
    <col min="5" max="5" width="4.81640625" bestFit="1" customWidth="1"/>
    <col min="6" max="6" width="6.453125" bestFit="1" customWidth="1"/>
    <col min="7" max="7" width="4" bestFit="1" customWidth="1"/>
    <col min="8" max="8" width="10.90625" bestFit="1" customWidth="1"/>
    <col min="9" max="9" width="10.1796875" bestFit="1" customWidth="1"/>
  </cols>
  <sheetData>
    <row r="1" spans="1:9" x14ac:dyDescent="0.35">
      <c r="A1" t="s">
        <v>44</v>
      </c>
      <c r="B1" t="s">
        <v>47</v>
      </c>
      <c r="C1" t="s">
        <v>46</v>
      </c>
      <c r="D1" t="s">
        <v>49</v>
      </c>
      <c r="E1" t="s">
        <v>106</v>
      </c>
      <c r="F1" t="s">
        <v>107</v>
      </c>
      <c r="G1" t="s">
        <v>108</v>
      </c>
      <c r="H1" t="s">
        <v>51</v>
      </c>
      <c r="I1" t="s">
        <v>52</v>
      </c>
    </row>
    <row r="2" spans="1:9" x14ac:dyDescent="0.35">
      <c r="A2" t="s">
        <v>54</v>
      </c>
      <c r="B2" s="4">
        <v>44691</v>
      </c>
      <c r="C2" t="s">
        <v>56</v>
      </c>
      <c r="D2">
        <v>50000</v>
      </c>
      <c r="E2">
        <f xml:space="preserve"> YEAR(B2)</f>
        <v>2022</v>
      </c>
      <c r="F2">
        <f xml:space="preserve"> MONTH(B2)</f>
        <v>5</v>
      </c>
      <c r="G2">
        <f xml:space="preserve"> DAY(B2)</f>
        <v>10</v>
      </c>
      <c r="H2" s="4">
        <v>45444</v>
      </c>
      <c r="I2" s="4">
        <v>45444</v>
      </c>
    </row>
    <row r="3" spans="1:9" x14ac:dyDescent="0.35">
      <c r="A3" t="s">
        <v>57</v>
      </c>
      <c r="B3" s="4">
        <v>44941</v>
      </c>
      <c r="C3" t="s">
        <v>59</v>
      </c>
      <c r="D3">
        <v>60000</v>
      </c>
      <c r="E3">
        <f xml:space="preserve"> YEAR(B3)</f>
        <v>2023</v>
      </c>
      <c r="F3">
        <f xml:space="preserve"> MONTH(B3)</f>
        <v>1</v>
      </c>
      <c r="G3">
        <f xml:space="preserve"> DAY(B3)</f>
        <v>15</v>
      </c>
      <c r="H3" s="4">
        <v>45444</v>
      </c>
      <c r="I3" s="4">
        <v>45461</v>
      </c>
    </row>
    <row r="4" spans="1:9" x14ac:dyDescent="0.35">
      <c r="A4" t="s">
        <v>60</v>
      </c>
      <c r="B4" s="4">
        <v>44378</v>
      </c>
      <c r="C4" t="s">
        <v>56</v>
      </c>
      <c r="D4">
        <v>55000</v>
      </c>
      <c r="E4">
        <f xml:space="preserve"> YEAR(B4)</f>
        <v>2021</v>
      </c>
      <c r="F4">
        <f xml:space="preserve"> MONTH(B4)</f>
        <v>7</v>
      </c>
      <c r="G4">
        <f xml:space="preserve"> DAY(B4)</f>
        <v>1</v>
      </c>
      <c r="H4" s="4">
        <v>45444</v>
      </c>
      <c r="I4" s="4">
        <v>45463</v>
      </c>
    </row>
    <row r="5" spans="1:9" x14ac:dyDescent="0.35">
      <c r="A5" t="s">
        <v>62</v>
      </c>
      <c r="B5" s="4">
        <v>45219</v>
      </c>
      <c r="C5" t="s">
        <v>64</v>
      </c>
      <c r="D5">
        <v>45000</v>
      </c>
      <c r="E5">
        <f xml:space="preserve"> YEAR(B5)</f>
        <v>2023</v>
      </c>
      <c r="F5">
        <f xml:space="preserve"> MONTH(B5)</f>
        <v>10</v>
      </c>
      <c r="G5">
        <f xml:space="preserve"> DAY(B5)</f>
        <v>20</v>
      </c>
      <c r="H5" s="4">
        <v>45444</v>
      </c>
      <c r="I5" s="4">
        <v>45468</v>
      </c>
    </row>
    <row r="6" spans="1:9" x14ac:dyDescent="0.35">
      <c r="A6" t="s">
        <v>66</v>
      </c>
      <c r="B6" s="4">
        <v>43895</v>
      </c>
      <c r="C6" t="s">
        <v>59</v>
      </c>
      <c r="D6">
        <v>70000</v>
      </c>
      <c r="E6">
        <f xml:space="preserve"> YEAR(B6)</f>
        <v>2020</v>
      </c>
      <c r="F6">
        <f xml:space="preserve"> MONTH(B6)</f>
        <v>3</v>
      </c>
      <c r="G6">
        <f xml:space="preserve"> DAY(B6)</f>
        <v>5</v>
      </c>
      <c r="H6" s="4">
        <v>45444</v>
      </c>
      <c r="I6" s="4">
        <v>45473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C614-4CA4-47E0-A404-C5007F106CB8}">
  <dimension ref="A1:I6"/>
  <sheetViews>
    <sheetView tabSelected="1" workbookViewId="0">
      <selection activeCell="H11" sqref="H11"/>
    </sheetView>
  </sheetViews>
  <sheetFormatPr defaultRowHeight="14.5" x14ac:dyDescent="0.35"/>
  <cols>
    <col min="1" max="1" width="12.08984375" bestFit="1" customWidth="1"/>
    <col min="2" max="2" width="10.08984375" bestFit="1" customWidth="1"/>
    <col min="3" max="3" width="10.90625" bestFit="1" customWidth="1"/>
    <col min="4" max="4" width="10.453125" bestFit="1" customWidth="1"/>
    <col min="5" max="5" width="4.81640625" bestFit="1" customWidth="1"/>
    <col min="6" max="6" width="6.453125" bestFit="1" customWidth="1"/>
    <col min="7" max="7" width="4" bestFit="1" customWidth="1"/>
    <col min="8" max="8" width="10.90625" bestFit="1" customWidth="1"/>
    <col min="9" max="9" width="10.1796875" bestFit="1" customWidth="1"/>
  </cols>
  <sheetData>
    <row r="1" spans="1:9" x14ac:dyDescent="0.35">
      <c r="A1" t="s">
        <v>44</v>
      </c>
      <c r="B1" t="s">
        <v>47</v>
      </c>
      <c r="C1" t="s">
        <v>46</v>
      </c>
      <c r="D1" t="s">
        <v>49</v>
      </c>
      <c r="E1" t="s">
        <v>106</v>
      </c>
      <c r="F1" t="s">
        <v>107</v>
      </c>
      <c r="G1" t="s">
        <v>108</v>
      </c>
      <c r="H1" t="s">
        <v>51</v>
      </c>
      <c r="I1" t="s">
        <v>52</v>
      </c>
    </row>
    <row r="2" spans="1:9" x14ac:dyDescent="0.35">
      <c r="A2" t="s">
        <v>54</v>
      </c>
      <c r="B2" s="4">
        <v>44691</v>
      </c>
      <c r="C2" t="s">
        <v>56</v>
      </c>
      <c r="D2">
        <v>50000</v>
      </c>
      <c r="E2">
        <f xml:space="preserve"> YEAR(B2)</f>
        <v>2022</v>
      </c>
      <c r="F2">
        <f xml:space="preserve"> MONTH(B2)</f>
        <v>5</v>
      </c>
      <c r="G2">
        <f xml:space="preserve"> DAY(B2)</f>
        <v>10</v>
      </c>
      <c r="H2" s="4">
        <v>45444</v>
      </c>
      <c r="I2" s="4">
        <v>45444</v>
      </c>
    </row>
    <row r="3" spans="1:9" x14ac:dyDescent="0.35">
      <c r="A3" t="s">
        <v>57</v>
      </c>
      <c r="B3" s="4">
        <v>44941</v>
      </c>
      <c r="C3" t="s">
        <v>59</v>
      </c>
      <c r="D3">
        <v>60000</v>
      </c>
      <c r="E3">
        <f xml:space="preserve"> YEAR(B3)</f>
        <v>2023</v>
      </c>
      <c r="F3">
        <f xml:space="preserve"> MONTH(B3)</f>
        <v>1</v>
      </c>
      <c r="G3">
        <f xml:space="preserve"> DAY(B3)</f>
        <v>15</v>
      </c>
      <c r="H3" s="4">
        <v>45444</v>
      </c>
      <c r="I3" s="4">
        <v>45461</v>
      </c>
    </row>
    <row r="4" spans="1:9" x14ac:dyDescent="0.35">
      <c r="A4" t="s">
        <v>60</v>
      </c>
      <c r="B4" s="4">
        <v>44378</v>
      </c>
      <c r="C4" t="s">
        <v>56</v>
      </c>
      <c r="D4">
        <v>55000</v>
      </c>
      <c r="E4">
        <f xml:space="preserve"> YEAR(B4)</f>
        <v>2021</v>
      </c>
      <c r="F4">
        <f xml:space="preserve"> MONTH(B4)</f>
        <v>7</v>
      </c>
      <c r="G4">
        <f xml:space="preserve"> DAY(B4)</f>
        <v>1</v>
      </c>
      <c r="H4" s="4">
        <v>45444</v>
      </c>
      <c r="I4" s="4">
        <v>45463</v>
      </c>
    </row>
    <row r="5" spans="1:9" x14ac:dyDescent="0.35">
      <c r="A5" t="s">
        <v>62</v>
      </c>
      <c r="B5" s="4">
        <v>45219</v>
      </c>
      <c r="C5" t="s">
        <v>64</v>
      </c>
      <c r="D5">
        <v>45000</v>
      </c>
      <c r="E5">
        <f xml:space="preserve"> YEAR(B5)</f>
        <v>2023</v>
      </c>
      <c r="F5">
        <f xml:space="preserve"> MONTH(B5)</f>
        <v>10</v>
      </c>
      <c r="G5">
        <f xml:space="preserve"> DAY(B5)</f>
        <v>20</v>
      </c>
      <c r="H5" s="4">
        <v>45444</v>
      </c>
      <c r="I5" s="4">
        <v>45468</v>
      </c>
    </row>
    <row r="6" spans="1:9" x14ac:dyDescent="0.35">
      <c r="A6" t="s">
        <v>66</v>
      </c>
      <c r="B6" s="4">
        <v>43895</v>
      </c>
      <c r="C6" t="s">
        <v>59</v>
      </c>
      <c r="D6">
        <v>70000</v>
      </c>
      <c r="E6">
        <f xml:space="preserve"> YEAR(B6)</f>
        <v>2020</v>
      </c>
      <c r="F6">
        <f xml:space="preserve"> MONTH(B6)</f>
        <v>3</v>
      </c>
      <c r="G6">
        <f xml:space="preserve"> DAY(B6)</f>
        <v>5</v>
      </c>
      <c r="H6" s="4">
        <v>45444</v>
      </c>
      <c r="I6" s="4">
        <v>45473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Himanshi .</dc:creator>
  <cp:lastModifiedBy>Himanshi .</cp:lastModifiedBy>
  <dcterms:created xsi:type="dcterms:W3CDTF">2026-08-29T15:26:03Z</dcterms:created>
  <dcterms:modified xsi:type="dcterms:W3CDTF">2026-09-07T14:14:24Z</dcterms:modified>
</cp:coreProperties>
</file>